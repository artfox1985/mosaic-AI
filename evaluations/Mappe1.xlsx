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\Documents\Projekte\mosaic-AI\evaluations\"/>
    </mc:Choice>
  </mc:AlternateContent>
  <xr:revisionPtr revIDLastSave="0" documentId="13_ncr:1_{7E2AB678-BE64-41DB-B0D4-0CD4E8F19FFB}" xr6:coauthVersionLast="47" xr6:coauthVersionMax="47" xr10:uidLastSave="{00000000-0000-0000-0000-000000000000}"/>
  <bookViews>
    <workbookView xWindow="1860" yWindow="1920" windowWidth="11100" windowHeight="14175" xr2:uid="{F1D75965-A523-468B-BD50-912F82E4FF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B16" i="1"/>
  <c r="E18" i="1" l="1"/>
  <c r="E16" i="1"/>
  <c r="E17" i="1" s="1"/>
  <c r="E20" i="1" s="1"/>
  <c r="E22" i="1" s="1"/>
  <c r="F22" i="1" s="1"/>
  <c r="E19" i="1" l="1"/>
  <c r="E21" i="1" s="1"/>
  <c r="F21" i="1" s="1"/>
</calcChain>
</file>

<file path=xl/sharedStrings.xml><?xml version="1.0" encoding="utf-8"?>
<sst xmlns="http://schemas.openxmlformats.org/spreadsheetml/2006/main" count="7" uniqueCount="7">
  <si>
    <t>sigma offen</t>
  </si>
  <si>
    <t>maximale abweichung</t>
  </si>
  <si>
    <t>erwartete siege</t>
  </si>
  <si>
    <t>min siege</t>
  </si>
  <si>
    <t>max siege</t>
  </si>
  <si>
    <t>Untegrenze</t>
  </si>
  <si>
    <t>Obergrenze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</si>
</sst>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51E9-4506-4E01-90BF-E0B83D9AF347}">
  <dimension ref="B2:F27"/>
  <sheetViews>
    <sheetView tabSelected="1" workbookViewId="0">
      <selection activeCell="D3" sqref="D3"/>
    </sheetView>
  </sheetViews>
  <sheetFormatPr baseColWidth="10" defaultRowHeight="15" x14ac:dyDescent="0.25"/>
  <sheetData>
    <row r="2" spans="2:5" x14ac:dyDescent="0.25">
      <c r="B2">
        <v>70</v>
      </c>
      <c r="D2">
        <v>45</v>
      </c>
      <c r="E2">
        <v>5</v>
      </c>
    </row>
    <row r="3" spans="2:5" x14ac:dyDescent="0.25">
      <c r="D3" s="1">
        <f>(D2+1)/(B2+2)</f>
        <v>0.63888888888888884</v>
      </c>
    </row>
    <row r="16" spans="2:5" x14ac:dyDescent="0.25">
      <c r="B16">
        <f>100-B2</f>
        <v>30</v>
      </c>
      <c r="D16" t="s">
        <v>0</v>
      </c>
      <c r="E16">
        <f>SQRT(B16*D3*(1-D3))</f>
        <v>2.6308356650114613</v>
      </c>
    </row>
    <row r="17" spans="4:6" x14ac:dyDescent="0.25">
      <c r="D17" t="s">
        <v>1</v>
      </c>
      <c r="E17">
        <f>E16*2</f>
        <v>5.2616713300229225</v>
      </c>
    </row>
    <row r="18" spans="4:6" x14ac:dyDescent="0.25">
      <c r="D18" t="s">
        <v>2</v>
      </c>
      <c r="E18">
        <f>B16*D3</f>
        <v>19.166666666666664</v>
      </c>
    </row>
    <row r="19" spans="4:6" x14ac:dyDescent="0.25">
      <c r="D19" t="s">
        <v>3</v>
      </c>
      <c r="E19">
        <f>E18-E17</f>
        <v>13.904995336643742</v>
      </c>
    </row>
    <row r="20" spans="4:6" x14ac:dyDescent="0.25">
      <c r="D20" t="s">
        <v>4</v>
      </c>
      <c r="E20">
        <f>E18+E17</f>
        <v>24.428337996689585</v>
      </c>
    </row>
    <row r="21" spans="4:6" x14ac:dyDescent="0.25">
      <c r="D21" t="s">
        <v>5</v>
      </c>
      <c r="E21">
        <f>D2+E19</f>
        <v>58.904995336643744</v>
      </c>
      <c r="F21" s="1">
        <f>E21/SUM(B2:B16)</f>
        <v>0.5890499533664374</v>
      </c>
    </row>
    <row r="22" spans="4:6" x14ac:dyDescent="0.25">
      <c r="D22" t="s">
        <v>6</v>
      </c>
      <c r="E22">
        <f>D2+E20</f>
        <v>69.428337996689578</v>
      </c>
      <c r="F22" s="1">
        <f>E22/SUM(B2:B16)</f>
        <v>0.69428337996689582</v>
      </c>
    </row>
    <row r="23" spans="4:6" x14ac:dyDescent="0.25">
      <c r="D23" s="1"/>
    </row>
    <row r="26" spans="4:6" x14ac:dyDescent="0.25">
      <c r="D26" s="2"/>
    </row>
    <row r="27" spans="4:6" x14ac:dyDescent="0.25">
      <c r="D27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Chromy</dc:creator>
  <cp:lastModifiedBy>Patrick Chromy</cp:lastModifiedBy>
  <dcterms:created xsi:type="dcterms:W3CDTF">2026-07-07T20:48:10Z</dcterms:created>
  <dcterms:modified xsi:type="dcterms:W3CDTF">2026-07-08T16:27:29Z</dcterms:modified>
</cp:coreProperties>
</file>